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5d37b6e6ced8c36/Trabajo/Portafolio/telecom-hw-inventory-data-product/01_simulation/input/"/>
    </mc:Choice>
  </mc:AlternateContent>
  <xr:revisionPtr revIDLastSave="110" documentId="11_AD4D2F04E46CFB4ACB3E206A4D96EB04683EDF1E" xr6:coauthVersionLast="47" xr6:coauthVersionMax="47" xr10:uidLastSave="{152E7927-B23A-4B90-AD73-3E64DE279CDC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<sst xmlns="http://schemas.openxmlformats.org/spreadsheetml/2006/main" count="100" uniqueCount="32">
  <si>
    <t>id_config_hw</t>
  </si>
  <si>
    <t>id_configuracion</t>
  </si>
  <si>
    <t>fecha_configuracion</t>
  </si>
  <si>
    <t>id_referencia</t>
  </si>
  <si>
    <t>referencia</t>
  </si>
  <si>
    <t>REF01</t>
  </si>
  <si>
    <t>ANT_MIMO_SECTOR</t>
  </si>
  <si>
    <t>REF02</t>
  </si>
  <si>
    <t>RRU_BANDA_MEDIA</t>
  </si>
  <si>
    <t>REF03</t>
  </si>
  <si>
    <t>BBU_DU</t>
  </si>
  <si>
    <t>REF04</t>
  </si>
  <si>
    <t>JUMPER_RF</t>
  </si>
  <si>
    <t>REF05</t>
  </si>
  <si>
    <t>CABLE_DC_M</t>
  </si>
  <si>
    <t>REF06</t>
  </si>
  <si>
    <t>FIBRA_OPTICA_M</t>
  </si>
  <si>
    <t>REF07</t>
  </si>
  <si>
    <t>MODULO_RF</t>
  </si>
  <si>
    <t>REF08</t>
  </si>
  <si>
    <t>REF09</t>
  </si>
  <si>
    <t>GABINETE_OUTDOOR</t>
  </si>
  <si>
    <t>REF10</t>
  </si>
  <si>
    <t>unidad</t>
  </si>
  <si>
    <t>pieza</t>
  </si>
  <si>
    <t>metro</t>
  </si>
  <si>
    <t>BATERIAS</t>
  </si>
  <si>
    <t>BREAKER</t>
  </si>
  <si>
    <t>rango_min</t>
  </si>
  <si>
    <t>rango_max</t>
  </si>
  <si>
    <t>variacion_pasos</t>
  </si>
  <si>
    <t>cantidad_proyectada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</si>
</sst>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81BBD-7D5F-438A-B69F-8BC6324E3B34}" name="Tabla1" displayName="Tabla1" ref="A1:J31" totalsRowShown="0" headerRowDxfId="11" dataDxfId="10">
  <sortState xmlns:xlrd2="http://schemas.microsoft.com/office/spreadsheetml/2017/richdata2" ref="A2:G31">
    <sortCondition ref="E1:E31"/>
  </sortState>
  <tableColumns count="10">
    <tableColumn id="1" xr3:uid="{0703DD3E-A656-46B2-AE05-2689B1665A93}" name="id_config_hw" dataDxfId="9"/>
    <tableColumn id="2" xr3:uid="{1AE4532E-A499-40A4-8C27-0CAFBB6A13B7}" name="id_configuracion" dataDxfId="8"/>
    <tableColumn id="3" xr3:uid="{FC478F38-0B05-417B-A412-F9A92F4270BA}" name="fecha_configuracion" dataDxfId="7"/>
    <tableColumn id="4" xr3:uid="{2F3C2EDF-7244-47C8-93D2-916FF99DA2CF}" name="id_referencia" dataDxfId="6"/>
    <tableColumn id="5" xr3:uid="{87FC7D09-1A2A-464B-B52A-F8491134EBDE}" name="referencia" dataDxfId="5"/>
    <tableColumn id="7" xr3:uid="{1D0FCB5D-9E57-47B1-BC9B-3E8BC67D34C8}" name="unidad" dataDxfId="4"/>
    <tableColumn id="6" xr3:uid="{FD423A56-FAE7-4592-93FA-936BAFD975D9}" name="cantidad_proyectada" dataDxfId="3"/>
    <tableColumn id="8" xr3:uid="{85D50B97-9659-4ADE-947F-AC0C96CE83BF}" name="variacion_pasos" dataDxfId="2"/>
    <tableColumn id="9" xr3:uid="{BFBC5238-5D75-4F91-9304-6604DD74F529}" name="rango_min" dataDxfId="1">
      <calculatedColumnFormula>Tabla1[[#This Row],[cantidad_proyectada]]*-1</calculatedColumnFormula>
    </tableColumn>
    <tableColumn id="10" xr3:uid="{2EEE7A79-E99E-4DDF-9D42-4A130D89F448}" name="rango_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8671875" defaultRowHeight="14.4" x14ac:dyDescent="0.3"/>
  <cols>
    <col min="1" max="1" width="16.77734375" style="1" bestFit="1" customWidth="1"/>
    <col min="2" max="2" width="19.5546875" style="1" bestFit="1" customWidth="1"/>
    <col min="3" max="3" width="20.109375" style="1" customWidth="1"/>
    <col min="4" max="4" width="16.44140625" style="1" bestFit="1" customWidth="1"/>
    <col min="5" max="5" width="20.77734375" style="1" bestFit="1" customWidth="1"/>
    <col min="6" max="6" width="11.33203125" style="1" bestFit="1" customWidth="1"/>
    <col min="7" max="7" width="19" style="1" bestFit="1" customWidth="1"/>
    <col min="8" max="8" width="14.44140625" style="1" bestFit="1" customWidth="1"/>
    <col min="9" max="9" width="10.109375" style="1" bestFit="1" customWidth="1"/>
    <col min="10" max="10" width="10.44140625" style="1" bestFit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31</v>
      </c>
      <c r="H1" s="1" t="s">
        <v>30</v>
      </c>
      <c r="I1" s="1" t="s">
        <v>28</v>
      </c>
      <c r="J1" s="1" t="s">
        <v>29</v>
      </c>
    </row>
    <row r="2" spans="1:10" x14ac:dyDescent="0.3">
      <c r="A2" s="1">
        <v>1</v>
      </c>
      <c r="B2" s="1">
        <v>1</v>
      </c>
      <c r="C2" s="2">
        <v>45658</v>
      </c>
      <c r="D2" s="1" t="s">
        <v>5</v>
      </c>
      <c r="E2" s="1" t="s">
        <v>6</v>
      </c>
      <c r="F2" s="1" t="s">
        <v>24</v>
      </c>
      <c r="G2" s="1">
        <v>3</v>
      </c>
      <c r="H2" s="1">
        <v>1</v>
      </c>
      <c r="I2" s="1">
        <f>Tabla1[[#This Row],[cantidad_proyectada]]*-1</f>
        <v>-3</v>
      </c>
      <c r="J2" s="1">
        <v>2</v>
      </c>
    </row>
    <row r="3" spans="1:10" x14ac:dyDescent="0.3">
      <c r="A3" s="1">
        <v>11</v>
      </c>
      <c r="B3" s="1">
        <v>2</v>
      </c>
      <c r="C3" s="2">
        <v>45658</v>
      </c>
      <c r="D3" s="1" t="s">
        <v>5</v>
      </c>
      <c r="E3" s="1" t="s">
        <v>6</v>
      </c>
      <c r="F3" s="1" t="s">
        <v>24</v>
      </c>
      <c r="G3" s="1">
        <v>3</v>
      </c>
      <c r="H3" s="1">
        <v>1</v>
      </c>
      <c r="I3" s="1">
        <f>Tabla1[[#This Row],[cantidad_proyectada]]*-1</f>
        <v>-3</v>
      </c>
      <c r="J3" s="1">
        <v>2</v>
      </c>
    </row>
    <row r="4" spans="1:10" x14ac:dyDescent="0.3">
      <c r="A4" s="1">
        <v>21</v>
      </c>
      <c r="B4" s="1">
        <v>3</v>
      </c>
      <c r="C4" s="2">
        <v>45658</v>
      </c>
      <c r="D4" s="1" t="s">
        <v>5</v>
      </c>
      <c r="E4" s="1" t="s">
        <v>6</v>
      </c>
      <c r="F4" s="1" t="s">
        <v>24</v>
      </c>
      <c r="G4" s="1">
        <v>3</v>
      </c>
      <c r="H4" s="1">
        <v>1</v>
      </c>
      <c r="I4" s="1">
        <f>Tabla1[[#This Row],[cantidad_proyectada]]*-1</f>
        <v>-3</v>
      </c>
      <c r="J4" s="1">
        <v>2</v>
      </c>
    </row>
    <row r="5" spans="1:10" x14ac:dyDescent="0.3">
      <c r="A5" s="1">
        <v>3</v>
      </c>
      <c r="B5" s="1">
        <v>1</v>
      </c>
      <c r="C5" s="2">
        <v>45658</v>
      </c>
      <c r="D5" s="1" t="s">
        <v>9</v>
      </c>
      <c r="E5" s="1" t="s">
        <v>10</v>
      </c>
      <c r="F5" s="1" t="s">
        <v>24</v>
      </c>
      <c r="G5" s="1">
        <v>2</v>
      </c>
      <c r="H5" s="1">
        <v>1</v>
      </c>
      <c r="I5" s="1">
        <f>Tabla1[[#This Row],[cantidad_proyectada]]*-1</f>
        <v>-2</v>
      </c>
      <c r="J5" s="1">
        <v>2</v>
      </c>
    </row>
    <row r="6" spans="1:10" x14ac:dyDescent="0.3">
      <c r="A6" s="1">
        <v>13</v>
      </c>
      <c r="B6" s="1">
        <v>2</v>
      </c>
      <c r="C6" s="2">
        <v>45658</v>
      </c>
      <c r="D6" s="1" t="s">
        <v>9</v>
      </c>
      <c r="E6" s="1" t="s">
        <v>10</v>
      </c>
      <c r="F6" s="1" t="s">
        <v>24</v>
      </c>
      <c r="G6" s="1">
        <v>3</v>
      </c>
      <c r="H6" s="1">
        <v>1</v>
      </c>
      <c r="I6" s="1">
        <f>Tabla1[[#This Row],[cantidad_proyectada]]*-1</f>
        <v>-3</v>
      </c>
      <c r="J6" s="1">
        <v>2</v>
      </c>
    </row>
    <row r="7" spans="1:10" x14ac:dyDescent="0.3">
      <c r="A7" s="1">
        <v>23</v>
      </c>
      <c r="B7" s="1">
        <v>3</v>
      </c>
      <c r="C7" s="2">
        <v>45658</v>
      </c>
      <c r="D7" s="1" t="s">
        <v>9</v>
      </c>
      <c r="E7" s="1" t="s">
        <v>10</v>
      </c>
      <c r="F7" s="1" t="s">
        <v>24</v>
      </c>
      <c r="G7" s="1">
        <v>4</v>
      </c>
      <c r="H7" s="1">
        <v>1</v>
      </c>
      <c r="I7" s="1">
        <f>Tabla1[[#This Row],[cantidad_proyectada]]*-1</f>
        <v>-4</v>
      </c>
      <c r="J7" s="1">
        <v>2</v>
      </c>
    </row>
    <row r="8" spans="1:10" x14ac:dyDescent="0.3">
      <c r="A8" s="1">
        <v>5</v>
      </c>
      <c r="B8" s="1">
        <v>1</v>
      </c>
      <c r="C8" s="2">
        <v>45658</v>
      </c>
      <c r="D8" s="1" t="s">
        <v>13</v>
      </c>
      <c r="E8" s="1" t="s">
        <v>14</v>
      </c>
      <c r="F8" s="1" t="s">
        <v>25</v>
      </c>
      <c r="G8" s="1">
        <v>40</v>
      </c>
      <c r="H8" s="1">
        <v>10</v>
      </c>
      <c r="I8" s="1">
        <f>Tabla1[[#This Row],[cantidad_proyectada]]*-1</f>
        <v>-40</v>
      </c>
      <c r="J8" s="1">
        <v>30</v>
      </c>
    </row>
    <row r="9" spans="1:10" x14ac:dyDescent="0.3">
      <c r="A9" s="1">
        <v>15</v>
      </c>
      <c r="B9" s="1">
        <v>2</v>
      </c>
      <c r="C9" s="2">
        <v>45658</v>
      </c>
      <c r="D9" s="1" t="s">
        <v>13</v>
      </c>
      <c r="E9" s="1" t="s">
        <v>14</v>
      </c>
      <c r="F9" s="1" t="s">
        <v>25</v>
      </c>
      <c r="G9" s="1">
        <v>60</v>
      </c>
      <c r="H9" s="1">
        <v>10</v>
      </c>
      <c r="I9" s="1">
        <f>Tabla1[[#This Row],[cantidad_proyectada]]*-1</f>
        <v>-60</v>
      </c>
      <c r="J9" s="1">
        <v>30</v>
      </c>
    </row>
    <row r="10" spans="1:10" x14ac:dyDescent="0.3">
      <c r="A10" s="1">
        <v>25</v>
      </c>
      <c r="B10" s="1">
        <v>3</v>
      </c>
      <c r="C10" s="2">
        <v>45658</v>
      </c>
      <c r="D10" s="1" t="s">
        <v>13</v>
      </c>
      <c r="E10" s="1" t="s">
        <v>14</v>
      </c>
      <c r="F10" s="1" t="s">
        <v>25</v>
      </c>
      <c r="G10" s="1">
        <v>80</v>
      </c>
      <c r="H10" s="1">
        <v>10</v>
      </c>
      <c r="I10" s="1">
        <f>Tabla1[[#This Row],[cantidad_proyectada]]*-1</f>
        <v>-80</v>
      </c>
      <c r="J10" s="1">
        <v>30</v>
      </c>
    </row>
    <row r="11" spans="1:10" x14ac:dyDescent="0.3">
      <c r="A11" s="1">
        <v>6</v>
      </c>
      <c r="B11" s="1">
        <v>1</v>
      </c>
      <c r="C11" s="2">
        <v>45658</v>
      </c>
      <c r="D11" s="1" t="s">
        <v>15</v>
      </c>
      <c r="E11" s="1" t="s">
        <v>16</v>
      </c>
      <c r="F11" s="1" t="s">
        <v>25</v>
      </c>
      <c r="G11" s="1">
        <v>30</v>
      </c>
      <c r="H11" s="1">
        <v>5</v>
      </c>
      <c r="I11" s="1">
        <f>Tabla1[[#This Row],[cantidad_proyectada]]*-1</f>
        <v>-30</v>
      </c>
      <c r="J11" s="1">
        <v>15</v>
      </c>
    </row>
    <row r="12" spans="1:10" x14ac:dyDescent="0.3">
      <c r="A12" s="1">
        <v>16</v>
      </c>
      <c r="B12" s="1">
        <v>2</v>
      </c>
      <c r="C12" s="2">
        <v>45658</v>
      </c>
      <c r="D12" s="1" t="s">
        <v>15</v>
      </c>
      <c r="E12" s="1" t="s">
        <v>16</v>
      </c>
      <c r="F12" s="1" t="s">
        <v>25</v>
      </c>
      <c r="G12" s="1">
        <v>50</v>
      </c>
      <c r="H12" s="1">
        <v>5</v>
      </c>
      <c r="I12" s="1">
        <f>Tabla1[[#This Row],[cantidad_proyectada]]*-1</f>
        <v>-50</v>
      </c>
      <c r="J12" s="1">
        <v>15</v>
      </c>
    </row>
    <row r="13" spans="1:10" x14ac:dyDescent="0.3">
      <c r="A13" s="1">
        <v>26</v>
      </c>
      <c r="B13" s="1">
        <v>3</v>
      </c>
      <c r="C13" s="2">
        <v>45658</v>
      </c>
      <c r="D13" s="1" t="s">
        <v>15</v>
      </c>
      <c r="E13" s="1" t="s">
        <v>16</v>
      </c>
      <c r="F13" s="1" t="s">
        <v>25</v>
      </c>
      <c r="G13" s="1">
        <v>70</v>
      </c>
      <c r="H13" s="1">
        <v>5</v>
      </c>
      <c r="I13" s="1">
        <f>Tabla1[[#This Row],[cantidad_proyectada]]*-1</f>
        <v>-70</v>
      </c>
      <c r="J13" s="1">
        <v>15</v>
      </c>
    </row>
    <row r="14" spans="1:10" x14ac:dyDescent="0.3">
      <c r="A14" s="1">
        <v>9</v>
      </c>
      <c r="B14" s="1">
        <v>1</v>
      </c>
      <c r="C14" s="2">
        <v>45658</v>
      </c>
      <c r="D14" s="1" t="s">
        <v>20</v>
      </c>
      <c r="E14" s="1" t="s">
        <v>21</v>
      </c>
      <c r="F14" s="1" t="s">
        <v>24</v>
      </c>
      <c r="G14" s="1">
        <v>1</v>
      </c>
      <c r="H14" s="1">
        <v>1</v>
      </c>
      <c r="I14" s="1">
        <f>Tabla1[[#This Row],[cantidad_proyectada]]*-1</f>
        <v>-1</v>
      </c>
      <c r="J14" s="1">
        <v>0</v>
      </c>
    </row>
    <row r="15" spans="1:10" x14ac:dyDescent="0.3">
      <c r="A15" s="1">
        <v>19</v>
      </c>
      <c r="B15" s="1">
        <v>2</v>
      </c>
      <c r="C15" s="2">
        <v>45658</v>
      </c>
      <c r="D15" s="1" t="s">
        <v>20</v>
      </c>
      <c r="E15" s="1" t="s">
        <v>21</v>
      </c>
      <c r="F15" s="1" t="s">
        <v>24</v>
      </c>
      <c r="G15" s="1">
        <v>1</v>
      </c>
      <c r="H15" s="1">
        <v>1</v>
      </c>
      <c r="I15" s="1">
        <f>Tabla1[[#This Row],[cantidad_proyectada]]*-1</f>
        <v>-1</v>
      </c>
      <c r="J15" s="1">
        <v>0</v>
      </c>
    </row>
    <row r="16" spans="1:10" x14ac:dyDescent="0.3">
      <c r="A16" s="1">
        <v>29</v>
      </c>
      <c r="B16" s="1">
        <v>3</v>
      </c>
      <c r="C16" s="2">
        <v>45658</v>
      </c>
      <c r="D16" s="1" t="s">
        <v>20</v>
      </c>
      <c r="E16" s="1" t="s">
        <v>21</v>
      </c>
      <c r="F16" s="1" t="s">
        <v>24</v>
      </c>
      <c r="G16" s="1">
        <v>1</v>
      </c>
      <c r="H16" s="1">
        <v>1</v>
      </c>
      <c r="I16" s="1">
        <f>Tabla1[[#This Row],[cantidad_proyectada]]*-1</f>
        <v>-1</v>
      </c>
      <c r="J16" s="1">
        <v>0</v>
      </c>
    </row>
    <row r="17" spans="1:10" x14ac:dyDescent="0.3">
      <c r="A17" s="1">
        <v>4</v>
      </c>
      <c r="B17" s="1">
        <v>1</v>
      </c>
      <c r="C17" s="2">
        <v>45658</v>
      </c>
      <c r="D17" s="1" t="s">
        <v>11</v>
      </c>
      <c r="E17" s="1" t="s">
        <v>12</v>
      </c>
      <c r="F17" s="1" t="s">
        <v>24</v>
      </c>
      <c r="G17" s="1">
        <v>6</v>
      </c>
      <c r="H17" s="1">
        <v>2</v>
      </c>
      <c r="I17" s="1">
        <f>Tabla1[[#This Row],[cantidad_proyectada]]*-1</f>
        <v>-6</v>
      </c>
      <c r="J17" s="1">
        <v>4</v>
      </c>
    </row>
    <row r="18" spans="1:10" x14ac:dyDescent="0.3">
      <c r="A18" s="1">
        <v>14</v>
      </c>
      <c r="B18" s="1">
        <v>2</v>
      </c>
      <c r="C18" s="2">
        <v>45658</v>
      </c>
      <c r="D18" s="1" t="s">
        <v>11</v>
      </c>
      <c r="E18" s="1" t="s">
        <v>12</v>
      </c>
      <c r="F18" s="1" t="s">
        <v>24</v>
      </c>
      <c r="G18" s="1">
        <v>8</v>
      </c>
      <c r="H18" s="1">
        <v>2</v>
      </c>
      <c r="I18" s="1">
        <f>Tabla1[[#This Row],[cantidad_proyectada]]*-1</f>
        <v>-8</v>
      </c>
      <c r="J18" s="1">
        <v>4</v>
      </c>
    </row>
    <row r="19" spans="1:10" x14ac:dyDescent="0.3">
      <c r="A19" s="1">
        <v>24</v>
      </c>
      <c r="B19" s="1">
        <v>3</v>
      </c>
      <c r="C19" s="2">
        <v>45658</v>
      </c>
      <c r="D19" s="1" t="s">
        <v>11</v>
      </c>
      <c r="E19" s="1" t="s">
        <v>12</v>
      </c>
      <c r="F19" s="1" t="s">
        <v>24</v>
      </c>
      <c r="G19" s="1">
        <v>12</v>
      </c>
      <c r="H19" s="1">
        <v>2</v>
      </c>
      <c r="I19" s="1">
        <f>Tabla1[[#This Row],[cantidad_proyectada]]*-1</f>
        <v>-12</v>
      </c>
      <c r="J19" s="1">
        <v>4</v>
      </c>
    </row>
    <row r="20" spans="1:10" x14ac:dyDescent="0.3">
      <c r="A20" s="1">
        <v>7</v>
      </c>
      <c r="B20" s="1">
        <v>1</v>
      </c>
      <c r="C20" s="2">
        <v>45658</v>
      </c>
      <c r="D20" s="1" t="s">
        <v>17</v>
      </c>
      <c r="E20" s="1" t="s">
        <v>18</v>
      </c>
      <c r="F20" s="1" t="s">
        <v>24</v>
      </c>
      <c r="G20" s="1">
        <v>3</v>
      </c>
      <c r="H20" s="1">
        <v>1</v>
      </c>
      <c r="I20" s="1">
        <f>Tabla1[[#This Row],[cantidad_proyectada]]*-1</f>
        <v>-3</v>
      </c>
      <c r="J20" s="1">
        <v>1</v>
      </c>
    </row>
    <row r="21" spans="1:10" x14ac:dyDescent="0.3">
      <c r="A21" s="1">
        <v>17</v>
      </c>
      <c r="B21" s="1">
        <v>2</v>
      </c>
      <c r="C21" s="2">
        <v>45658</v>
      </c>
      <c r="D21" s="1" t="s">
        <v>17</v>
      </c>
      <c r="E21" s="1" t="s">
        <v>18</v>
      </c>
      <c r="F21" s="1" t="s">
        <v>24</v>
      </c>
      <c r="G21" s="1">
        <v>6</v>
      </c>
      <c r="H21" s="1">
        <v>1</v>
      </c>
      <c r="I21" s="1">
        <f>Tabla1[[#This Row],[cantidad_proyectada]]*-1</f>
        <v>-6</v>
      </c>
      <c r="J21" s="1">
        <v>1</v>
      </c>
    </row>
    <row r="22" spans="1:10" x14ac:dyDescent="0.3">
      <c r="A22" s="1">
        <v>27</v>
      </c>
      <c r="B22" s="1">
        <v>3</v>
      </c>
      <c r="C22" s="2">
        <v>45658</v>
      </c>
      <c r="D22" s="1" t="s">
        <v>17</v>
      </c>
      <c r="E22" s="1" t="s">
        <v>18</v>
      </c>
      <c r="F22" s="1" t="s">
        <v>24</v>
      </c>
      <c r="G22" s="1">
        <v>3</v>
      </c>
      <c r="H22" s="1">
        <v>1</v>
      </c>
      <c r="I22" s="1">
        <f>Tabla1[[#This Row],[cantidad_proyectada]]*-1</f>
        <v>-3</v>
      </c>
      <c r="J22" s="1">
        <v>1</v>
      </c>
    </row>
    <row r="23" spans="1:10" x14ac:dyDescent="0.3">
      <c r="A23" s="1">
        <v>2</v>
      </c>
      <c r="B23" s="1">
        <v>1</v>
      </c>
      <c r="C23" s="2">
        <v>45658</v>
      </c>
      <c r="D23" s="1" t="s">
        <v>7</v>
      </c>
      <c r="E23" s="1" t="s">
        <v>8</v>
      </c>
      <c r="F23" s="1" t="s">
        <v>24</v>
      </c>
      <c r="G23" s="1">
        <v>3</v>
      </c>
      <c r="H23" s="1">
        <v>1</v>
      </c>
      <c r="I23" s="1">
        <f>Tabla1[[#This Row],[cantidad_proyectada]]*-1</f>
        <v>-3</v>
      </c>
      <c r="J23" s="1">
        <v>2</v>
      </c>
    </row>
    <row r="24" spans="1:10" x14ac:dyDescent="0.3">
      <c r="A24" s="1">
        <v>12</v>
      </c>
      <c r="B24" s="1">
        <v>2</v>
      </c>
      <c r="C24" s="2">
        <v>45658</v>
      </c>
      <c r="D24" s="1" t="s">
        <v>7</v>
      </c>
      <c r="E24" s="1" t="s">
        <v>8</v>
      </c>
      <c r="F24" s="1" t="s">
        <v>24</v>
      </c>
      <c r="G24" s="1">
        <v>6</v>
      </c>
      <c r="H24" s="1">
        <v>1</v>
      </c>
      <c r="I24" s="1">
        <f>Tabla1[[#This Row],[cantidad_proyectada]]*-1</f>
        <v>-6</v>
      </c>
      <c r="J24" s="1">
        <v>2</v>
      </c>
    </row>
    <row r="25" spans="1:10" x14ac:dyDescent="0.3">
      <c r="A25" s="1">
        <v>22</v>
      </c>
      <c r="B25" s="1">
        <v>3</v>
      </c>
      <c r="C25" s="2">
        <v>45658</v>
      </c>
      <c r="D25" s="1" t="s">
        <v>7</v>
      </c>
      <c r="E25" s="1" t="s">
        <v>8</v>
      </c>
      <c r="F25" s="1" t="s">
        <v>24</v>
      </c>
      <c r="G25" s="1">
        <v>9</v>
      </c>
      <c r="H25" s="1">
        <v>1</v>
      </c>
      <c r="I25" s="1">
        <f>Tabla1[[#This Row],[cantidad_proyectada]]*-1</f>
        <v>-9</v>
      </c>
      <c r="J25" s="1">
        <v>2</v>
      </c>
    </row>
    <row r="26" spans="1:10" x14ac:dyDescent="0.3">
      <c r="A26" s="1">
        <v>8</v>
      </c>
      <c r="B26" s="1">
        <v>1</v>
      </c>
      <c r="C26" s="2">
        <v>45658</v>
      </c>
      <c r="D26" s="1" t="s">
        <v>19</v>
      </c>
      <c r="E26" s="1" t="s">
        <v>26</v>
      </c>
      <c r="F26" s="1" t="s">
        <v>24</v>
      </c>
      <c r="G26" s="1">
        <v>3</v>
      </c>
      <c r="H26" s="1">
        <v>1</v>
      </c>
      <c r="I26" s="1">
        <f>Tabla1[[#This Row],[cantidad_proyectada]]*-1</f>
        <v>-3</v>
      </c>
      <c r="J26" s="1">
        <v>2</v>
      </c>
    </row>
    <row r="27" spans="1:10" x14ac:dyDescent="0.3">
      <c r="A27" s="1">
        <v>18</v>
      </c>
      <c r="B27" s="1">
        <v>2</v>
      </c>
      <c r="C27" s="2">
        <v>45658</v>
      </c>
      <c r="D27" s="1" t="s">
        <v>19</v>
      </c>
      <c r="E27" s="1" t="s">
        <v>26</v>
      </c>
      <c r="F27" s="1" t="s">
        <v>24</v>
      </c>
      <c r="G27" s="1">
        <v>3</v>
      </c>
      <c r="H27" s="1">
        <v>1</v>
      </c>
      <c r="I27" s="1">
        <f>Tabla1[[#This Row],[cantidad_proyectada]]*-1</f>
        <v>-3</v>
      </c>
      <c r="J27" s="1">
        <v>2</v>
      </c>
    </row>
    <row r="28" spans="1:10" x14ac:dyDescent="0.3">
      <c r="A28" s="1">
        <v>28</v>
      </c>
      <c r="B28" s="1">
        <v>3</v>
      </c>
      <c r="C28" s="2">
        <v>45658</v>
      </c>
      <c r="D28" s="1" t="s">
        <v>19</v>
      </c>
      <c r="E28" s="1" t="s">
        <v>26</v>
      </c>
      <c r="F28" s="1" t="s">
        <v>24</v>
      </c>
      <c r="G28" s="1">
        <v>3</v>
      </c>
      <c r="H28" s="1">
        <v>1</v>
      </c>
      <c r="I28" s="1">
        <f>Tabla1[[#This Row],[cantidad_proyectada]]*-1</f>
        <v>-3</v>
      </c>
      <c r="J28" s="1">
        <v>2</v>
      </c>
    </row>
    <row r="29" spans="1:10" x14ac:dyDescent="0.3">
      <c r="A29" s="1">
        <v>10</v>
      </c>
      <c r="B29" s="1">
        <v>1</v>
      </c>
      <c r="C29" s="2">
        <v>45658</v>
      </c>
      <c r="D29" s="1" t="s">
        <v>22</v>
      </c>
      <c r="E29" s="1" t="s">
        <v>27</v>
      </c>
      <c r="F29" s="1" t="s">
        <v>24</v>
      </c>
      <c r="G29" s="1">
        <v>3</v>
      </c>
      <c r="H29" s="1">
        <v>1</v>
      </c>
      <c r="I29" s="1">
        <f>Tabla1[[#This Row],[cantidad_proyectada]]*-1</f>
        <v>-3</v>
      </c>
      <c r="J29" s="1">
        <v>3</v>
      </c>
    </row>
    <row r="30" spans="1:10" x14ac:dyDescent="0.3">
      <c r="A30" s="1">
        <v>20</v>
      </c>
      <c r="B30" s="1">
        <v>2</v>
      </c>
      <c r="C30" s="2">
        <v>45658</v>
      </c>
      <c r="D30" s="1" t="s">
        <v>22</v>
      </c>
      <c r="E30" s="1" t="s">
        <v>27</v>
      </c>
      <c r="F30" s="1" t="s">
        <v>24</v>
      </c>
      <c r="G30" s="1">
        <v>5</v>
      </c>
      <c r="H30" s="1">
        <v>1</v>
      </c>
      <c r="I30" s="1">
        <f>Tabla1[[#This Row],[cantidad_proyectada]]*-1</f>
        <v>-5</v>
      </c>
      <c r="J30" s="1">
        <v>3</v>
      </c>
    </row>
    <row r="31" spans="1:10" x14ac:dyDescent="0.3">
      <c r="A31" s="1">
        <v>30</v>
      </c>
      <c r="B31" s="1">
        <v>3</v>
      </c>
      <c r="C31" s="2">
        <v>45658</v>
      </c>
      <c r="D31" s="1" t="s">
        <v>22</v>
      </c>
      <c r="E31" s="1" t="s">
        <v>27</v>
      </c>
      <c r="F31" s="1" t="s">
        <v>24</v>
      </c>
      <c r="G31" s="1">
        <v>7</v>
      </c>
      <c r="H31" s="1">
        <v>1</v>
      </c>
      <c r="I31" s="1">
        <f>Tabla1[[#This Row],[cantidad_proyectada]]*-1</f>
        <v>-7</v>
      </c>
      <c r="J31" s="1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Navarro</dc:creator>
  <cp:lastModifiedBy>Andres Navarro</cp:lastModifiedBy>
  <dcterms:created xsi:type="dcterms:W3CDTF">2015-06-05T18:19:34Z</dcterms:created>
  <dcterms:modified xsi:type="dcterms:W3CDTF">2026-02-03T16:53:02Z</dcterms:modified>
</cp:coreProperties>
</file>